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imas\OneDrive\Área de Trabalho\DIO\formacao bi\"/>
    </mc:Choice>
  </mc:AlternateContent>
  <bookViews>
    <workbookView xWindow="0" yWindow="0" windowWidth="20490" windowHeight="7635" tabRatio="232"/>
  </bookViews>
  <sheets>
    <sheet name="Plan1" sheetId="1" r:id="rId1"/>
    <sheet name="Plan2" sheetId="2" r:id="rId2"/>
  </sheets>
  <definedNames>
    <definedName name="aporte">Plan1!$D$19</definedName>
    <definedName name="patrimonio">Plan1!$D$22</definedName>
    <definedName name="qtdeAnos">Plan1!$D$20</definedName>
    <definedName name="rendimentoCarteira">Plan1!$D$15</definedName>
    <definedName name="salario">Plan1!$D$14</definedName>
    <definedName name="sugestaoInvestimento">Plan1!$D$16</definedName>
    <definedName name="taxaMensal">Plan1!$D$21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6" i="1" l="1"/>
  <c r="C37" i="1"/>
  <c r="C38" i="1"/>
  <c r="C39" i="1"/>
  <c r="C40" i="1"/>
  <c r="C41" i="1"/>
  <c r="H4" i="2"/>
  <c r="A16" i="2"/>
  <c r="A17" i="2"/>
  <c r="A18" i="2"/>
  <c r="A19" i="2"/>
  <c r="A20" i="2"/>
  <c r="A15" i="2"/>
  <c r="A10" i="2"/>
  <c r="A11" i="2"/>
  <c r="A12" i="2"/>
  <c r="A13" i="2"/>
  <c r="A14" i="2"/>
  <c r="A9" i="2"/>
  <c r="A4" i="2"/>
  <c r="A5" i="2"/>
  <c r="A6" i="2"/>
  <c r="A7" i="2"/>
  <c r="A8" i="2"/>
  <c r="A3" i="2"/>
  <c r="C33" i="1"/>
  <c r="D36" i="1" l="1"/>
  <c r="D41" i="1"/>
  <c r="D39" i="1"/>
  <c r="D40" i="1"/>
  <c r="D38" i="1"/>
  <c r="D37" i="1"/>
  <c r="D16" i="1"/>
  <c r="D22" i="1"/>
  <c r="D23" i="1" s="1"/>
  <c r="D42" i="1" l="1"/>
  <c r="C27" i="1"/>
  <c r="D27" i="1" s="1"/>
  <c r="C28" i="1"/>
  <c r="D28" i="1" s="1"/>
  <c r="C29" i="1"/>
  <c r="D29" i="1" s="1"/>
  <c r="C30" i="1"/>
  <c r="D30" i="1" s="1"/>
  <c r="C26" i="1"/>
  <c r="D26" i="1" s="1"/>
</calcChain>
</file>

<file path=xl/sharedStrings.xml><?xml version="1.0" encoding="utf-8"?>
<sst xmlns="http://schemas.openxmlformats.org/spreadsheetml/2006/main" count="71" uniqueCount="34">
  <si>
    <t>Quanto investir por mês?</t>
  </si>
  <si>
    <t>Por Quantos Anos?</t>
  </si>
  <si>
    <t>Taxa de Rendimento Mensal?</t>
  </si>
  <si>
    <t>Patromônio Acumulado?</t>
  </si>
  <si>
    <t>Dividendos Mensais?</t>
  </si>
  <si>
    <t>Investimento Mensal</t>
  </si>
  <si>
    <t>Quanto em 2 Anos?</t>
  </si>
  <si>
    <t>Quanto em 5 Anos?</t>
  </si>
  <si>
    <t>Quanto em 30 Anos?</t>
  </si>
  <si>
    <t>Quanto em 10 Anos?</t>
  </si>
  <si>
    <t>Quanto em 20 Anos?</t>
  </si>
  <si>
    <t>Cenários</t>
  </si>
  <si>
    <t>Dividendo</t>
  </si>
  <si>
    <t>Configurações</t>
  </si>
  <si>
    <t>Rendimento Carteira</t>
  </si>
  <si>
    <t>Salário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</si>
  <si>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</si>
  <si>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</si>
  <si>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</si>
  <si>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</si>
  <si>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</si>
  <si>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</si>
  <si>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</si>
  <si>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</si>
  <si>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</si>
  <si>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</si>
  <si>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</si>
  <si>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</si>
  <si>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</si>
  <si>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Conservador</t>
  </si>
  <si>
    <t>%</t>
  </si>
  <si>
    <t>CHAVE</t>
  </si>
  <si>
    <t>Moderado-TIJOLO</t>
  </si>
  <si>
    <t>Sugestão de Investimento(30%)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</si>
</sst>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R$&quot;\ #,##0.00;[Red]\-&quot;R$&quot;\ #,##0.00"/>
    <numFmt numFmtId="164" formatCode="0.000%"/>
    <numFmt numFmtId="165" formatCode="&quot;R$&quot;\ 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4">
    <xf numFmtId="0" fontId="0" fillId="0" borderId="0" xfId="0"/>
    <xf numFmtId="0" fontId="4" fillId="0" borderId="0" xfId="0" applyFont="1"/>
    <xf numFmtId="0" fontId="7" fillId="5" borderId="0" xfId="2"/>
    <xf numFmtId="0" fontId="0" fillId="3" borderId="0" xfId="0" applyFill="1"/>
    <xf numFmtId="0" fontId="7" fillId="5" borderId="0" xfId="2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0" borderId="0" xfId="0" applyBorder="1"/>
    <xf numFmtId="9" fontId="7" fillId="5" borderId="0" xfId="2" applyNumberFormat="1"/>
    <xf numFmtId="0" fontId="3" fillId="6" borderId="3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5" fillId="0" borderId="5" xfId="0" applyFont="1" applyBorder="1" applyAlignment="1">
      <alignment horizontal="left" indent="3"/>
    </xf>
    <xf numFmtId="165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2" fillId="0" borderId="5" xfId="1" applyNumberFormat="1" applyFont="1" applyBorder="1" applyAlignment="1">
      <alignment horizontal="center"/>
    </xf>
    <xf numFmtId="0" fontId="6" fillId="2" borderId="5" xfId="0" applyFont="1" applyFill="1" applyBorder="1" applyAlignment="1">
      <alignment horizontal="left" indent="3"/>
    </xf>
    <xf numFmtId="8" fontId="2" fillId="2" borderId="5" xfId="0" applyNumberFormat="1" applyFont="1" applyFill="1" applyBorder="1" applyAlignment="1">
      <alignment horizontal="center"/>
    </xf>
    <xf numFmtId="165" fontId="2" fillId="2" borderId="5" xfId="0" applyNumberFormat="1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9" fontId="0" fillId="0" borderId="5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0" fillId="7" borderId="5" xfId="0" applyFill="1" applyBorder="1"/>
    <xf numFmtId="165" fontId="0" fillId="7" borderId="5" xfId="0" applyNumberFormat="1" applyFill="1" applyBorder="1" applyAlignment="1">
      <alignment horizontal="center"/>
    </xf>
    <xf numFmtId="0" fontId="5" fillId="3" borderId="5" xfId="0" applyFont="1" applyFill="1" applyBorder="1" applyAlignment="1">
      <alignment horizontal="left" indent="3"/>
    </xf>
    <xf numFmtId="8" fontId="0" fillId="3" borderId="5" xfId="0" applyNumberFormat="1" applyFill="1" applyBorder="1" applyAlignment="1">
      <alignment horizontal="center"/>
    </xf>
    <xf numFmtId="0" fontId="5" fillId="4" borderId="5" xfId="0" applyFont="1" applyFill="1" applyBorder="1" applyAlignment="1">
      <alignment horizontal="left" indent="3"/>
    </xf>
    <xf numFmtId="0" fontId="5" fillId="4" borderId="6" xfId="0" applyFont="1" applyFill="1" applyBorder="1" applyAlignment="1">
      <alignment horizontal="left" indent="3"/>
    </xf>
    <xf numFmtId="0" fontId="5" fillId="4" borderId="7" xfId="0" applyFont="1" applyFill="1" applyBorder="1" applyAlignment="1">
      <alignment horizontal="left" indent="3"/>
    </xf>
    <xf numFmtId="165" fontId="0" fillId="0" borderId="8" xfId="0" applyNumberFormat="1" applyBorder="1" applyAlignment="1">
      <alignment horizontal="center"/>
    </xf>
    <xf numFmtId="0" fontId="5" fillId="4" borderId="9" xfId="0" applyFont="1" applyFill="1" applyBorder="1" applyAlignment="1">
      <alignment horizontal="left" indent="3"/>
    </xf>
    <xf numFmtId="10" fontId="0" fillId="0" borderId="10" xfId="0" applyNumberFormat="1" applyBorder="1" applyAlignment="1">
      <alignment horizontal="center"/>
    </xf>
    <xf numFmtId="0" fontId="5" fillId="3" borderId="11" xfId="0" applyFont="1" applyFill="1" applyBorder="1" applyAlignment="1">
      <alignment horizontal="left" indent="3"/>
    </xf>
    <xf numFmtId="0" fontId="5" fillId="3" borderId="12" xfId="0" applyFont="1" applyFill="1" applyBorder="1" applyAlignment="1">
      <alignment horizontal="left" indent="3"/>
    </xf>
    <xf numFmtId="165" fontId="0" fillId="3" borderId="13" xfId="0" applyNumberFormat="1" applyFill="1" applyBorder="1" applyAlignment="1">
      <alignment horizontal="center"/>
    </xf>
  </cellXfs>
  <cellStyles count="3">
    <cellStyle name="Neutra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67709973753281"/>
          <c:y val="9.7222222222222224E-2"/>
          <c:w val="0.47534689413823272"/>
          <c:h val="0.79224482356372117"/>
        </c:manualLayout>
      </c:layout>
      <c:pieChart>
        <c:varyColors val="1"/>
        <c:ser>
          <c:idx val="0"/>
          <c:order val="0"/>
          <c:tx>
            <c:strRef>
              <c:f>Plan1!$C$35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Plan1!$B$36:$B$41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Plan1!$C$36:$C$41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</xdr:colOff>
      <xdr:row>43</xdr:row>
      <xdr:rowOff>33337</xdr:rowOff>
    </xdr:from>
    <xdr:to>
      <xdr:col>2</xdr:col>
      <xdr:colOff>2705100</xdr:colOff>
      <xdr:row>57</xdr:row>
      <xdr:rowOff>109537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590550</xdr:colOff>
      <xdr:row>1</xdr:row>
      <xdr:rowOff>76200</xdr:rowOff>
    </xdr:from>
    <xdr:to>
      <xdr:col>3</xdr:col>
      <xdr:colOff>1209675</xdr:colOff>
      <xdr:row>9</xdr:row>
      <xdr:rowOff>33656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0550" y="266700"/>
          <a:ext cx="7734300" cy="14814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showGridLines="0" tabSelected="1" zoomScale="115" zoomScaleNormal="115" workbookViewId="0">
      <selection activeCell="C32" sqref="C32"/>
    </sheetView>
  </sheetViews>
  <sheetFormatPr defaultColWidth="0" defaultRowHeight="15" x14ac:dyDescent="0.25"/>
  <cols>
    <col min="1" max="1" width="9.140625" customWidth="1"/>
    <col min="2" max="2" width="56.28515625" customWidth="1"/>
    <col min="3" max="3" width="41.28515625" customWidth="1"/>
    <col min="4" max="4" width="18.28515625" bestFit="1" customWidth="1"/>
    <col min="5" max="5" width="12.42578125" customWidth="1"/>
    <col min="6" max="6" width="8.85546875" customWidth="1"/>
    <col min="7" max="7" width="3.28515625" customWidth="1"/>
    <col min="8" max="11" width="9.140625" hidden="1" customWidth="1"/>
    <col min="12" max="16384" width="9.140625" hidden="1"/>
  </cols>
  <sheetData>
    <row r="1" spans="2:4" ht="15" customHeight="1" x14ac:dyDescent="0.25"/>
    <row r="2" spans="2:4" ht="15" customHeight="1" x14ac:dyDescent="0.25"/>
    <row r="3" spans="2:4" ht="15" customHeight="1" x14ac:dyDescent="0.25"/>
    <row r="4" spans="2:4" ht="15" customHeight="1" x14ac:dyDescent="0.25"/>
    <row r="5" spans="2:4" ht="15" customHeight="1" x14ac:dyDescent="0.25"/>
    <row r="10" spans="2:4" ht="15" customHeight="1" x14ac:dyDescent="0.25"/>
    <row r="11" spans="2:4" ht="13.5" customHeight="1" x14ac:dyDescent="0.25"/>
    <row r="12" spans="2:4" ht="13.5" customHeight="1" x14ac:dyDescent="0.25"/>
    <row r="13" spans="2:4" ht="27" customHeight="1" x14ac:dyDescent="0.4">
      <c r="B13" s="14" t="s">
        <v>13</v>
      </c>
      <c r="C13" s="13"/>
      <c r="D13" s="15"/>
    </row>
    <row r="14" spans="2:4" ht="13.5" customHeight="1" x14ac:dyDescent="0.25">
      <c r="B14" s="36" t="s">
        <v>15</v>
      </c>
      <c r="C14" s="37"/>
      <c r="D14" s="38">
        <v>2000</v>
      </c>
    </row>
    <row r="15" spans="2:4" ht="15" customHeight="1" x14ac:dyDescent="0.25">
      <c r="B15" s="39" t="s">
        <v>14</v>
      </c>
      <c r="C15" s="35"/>
      <c r="D15" s="40">
        <v>6.0000000000000001E-3</v>
      </c>
    </row>
    <row r="16" spans="2:4" ht="15" customHeight="1" x14ac:dyDescent="0.25">
      <c r="B16" s="41" t="s">
        <v>33</v>
      </c>
      <c r="C16" s="42"/>
      <c r="D16" s="43">
        <f>D14*30%</f>
        <v>600</v>
      </c>
    </row>
    <row r="17" spans="1:4" ht="10.5" customHeight="1" x14ac:dyDescent="0.25"/>
    <row r="18" spans="1:4" ht="29.25" customHeight="1" x14ac:dyDescent="0.4">
      <c r="B18" s="16" t="s">
        <v>5</v>
      </c>
      <c r="C18" s="17"/>
      <c r="D18" s="18"/>
    </row>
    <row r="19" spans="1:4" ht="15" customHeight="1" x14ac:dyDescent="0.25">
      <c r="B19" s="20" t="s">
        <v>0</v>
      </c>
      <c r="C19" s="20"/>
      <c r="D19" s="21">
        <v>200</v>
      </c>
    </row>
    <row r="20" spans="1:4" ht="15.75" x14ac:dyDescent="0.25">
      <c r="B20" s="20" t="s">
        <v>1</v>
      </c>
      <c r="C20" s="20"/>
      <c r="D20" s="22">
        <v>5</v>
      </c>
    </row>
    <row r="21" spans="1:4" ht="15.75" x14ac:dyDescent="0.25">
      <c r="B21" s="20" t="s">
        <v>2</v>
      </c>
      <c r="C21" s="20"/>
      <c r="D21" s="23">
        <v>1.0789999999999999E-2</v>
      </c>
    </row>
    <row r="22" spans="1:4" ht="15.75" x14ac:dyDescent="0.25">
      <c r="A22" s="1">
        <v>2</v>
      </c>
      <c r="B22" s="24" t="s">
        <v>3</v>
      </c>
      <c r="C22" s="24"/>
      <c r="D22" s="25">
        <f>FV(taxaMensal,qtdeAnos*12,aporte*-1)</f>
        <v>16755.382799697527</v>
      </c>
    </row>
    <row r="23" spans="1:4" ht="15.75" x14ac:dyDescent="0.25">
      <c r="A23" s="1">
        <v>5</v>
      </c>
      <c r="B23" s="24" t="s">
        <v>4</v>
      </c>
      <c r="C23" s="24"/>
      <c r="D23" s="26">
        <f>patrimonio*rendimentoCarteira</f>
        <v>100.53229679818516</v>
      </c>
    </row>
    <row r="24" spans="1:4" x14ac:dyDescent="0.25">
      <c r="A24" s="1">
        <v>10</v>
      </c>
    </row>
    <row r="25" spans="1:4" ht="26.25" x14ac:dyDescent="0.4">
      <c r="A25" s="1">
        <v>20</v>
      </c>
      <c r="B25" s="16" t="s">
        <v>11</v>
      </c>
      <c r="C25" s="19"/>
      <c r="D25" s="18" t="s">
        <v>12</v>
      </c>
    </row>
    <row r="26" spans="1:4" ht="15.75" x14ac:dyDescent="0.25">
      <c r="A26" s="1">
        <v>30</v>
      </c>
      <c r="B26" s="33" t="s">
        <v>6</v>
      </c>
      <c r="C26" s="34">
        <f>FV($D$21,$A22*12,$D$19*-1)</f>
        <v>5445.5254595290435</v>
      </c>
      <c r="D26" s="34">
        <f>C26*rendimentoCarteira</f>
        <v>32.673152757174265</v>
      </c>
    </row>
    <row r="27" spans="1:4" ht="15.75" x14ac:dyDescent="0.25">
      <c r="B27" s="33" t="s">
        <v>7</v>
      </c>
      <c r="C27" s="34">
        <f>FV($D$21,$A23*12,$D$19*-1)</f>
        <v>16755.382799697527</v>
      </c>
      <c r="D27" s="34">
        <f>C27*rendimentoCarteira</f>
        <v>100.53229679818516</v>
      </c>
    </row>
    <row r="28" spans="1:4" ht="15.75" x14ac:dyDescent="0.25">
      <c r="B28" s="33" t="s">
        <v>9</v>
      </c>
      <c r="C28" s="34">
        <f>FV($D$21,$A24*12,$D$19*-1)</f>
        <v>48656.842506034438</v>
      </c>
      <c r="D28" s="34">
        <f>C28*rendimentoCarteira</f>
        <v>291.94105503620665</v>
      </c>
    </row>
    <row r="29" spans="1:4" ht="15.75" x14ac:dyDescent="0.25">
      <c r="B29" s="33" t="s">
        <v>10</v>
      </c>
      <c r="C29" s="34">
        <f>FV($D$21,$A25*12,$D$19*-1)</f>
        <v>225039.68001941612</v>
      </c>
      <c r="D29" s="34">
        <f>C29*rendimentoCarteira</f>
        <v>1350.2380801164968</v>
      </c>
    </row>
    <row r="30" spans="1:4" ht="15.75" x14ac:dyDescent="0.25">
      <c r="B30" s="33" t="s">
        <v>8</v>
      </c>
      <c r="C30" s="34">
        <f>FV($D$21,$A26*12,$D$19*-1)</f>
        <v>864433.93100094295</v>
      </c>
      <c r="D30" s="34">
        <f>C30*rendimentoCarteira</f>
        <v>5186.6035860056581</v>
      </c>
    </row>
    <row r="32" spans="1:4" x14ac:dyDescent="0.25">
      <c r="B32" s="2" t="s">
        <v>19</v>
      </c>
      <c r="C32" s="4" t="s">
        <v>16</v>
      </c>
      <c r="D32" s="2"/>
    </row>
    <row r="33" spans="2:4" x14ac:dyDescent="0.25">
      <c r="B33" s="3" t="s">
        <v>18</v>
      </c>
      <c r="C33" s="5">
        <f>aporte</f>
        <v>200</v>
      </c>
      <c r="D33" s="3"/>
    </row>
    <row r="35" spans="2:4" x14ac:dyDescent="0.25">
      <c r="B35" s="27" t="s">
        <v>20</v>
      </c>
      <c r="C35" s="27" t="s">
        <v>21</v>
      </c>
      <c r="D35" s="27" t="s">
        <v>22</v>
      </c>
    </row>
    <row r="36" spans="2:4" x14ac:dyDescent="0.25">
      <c r="B36" s="28" t="s">
        <v>23</v>
      </c>
      <c r="C36" s="29">
        <f>VLOOKUP($C$32&amp;"-"&amp;B36,Plan2!$A:$D,4,)</f>
        <v>0.32</v>
      </c>
      <c r="D36" s="30">
        <f>C36*$C$33</f>
        <v>64</v>
      </c>
    </row>
    <row r="37" spans="2:4" x14ac:dyDescent="0.25">
      <c r="B37" s="28" t="s">
        <v>24</v>
      </c>
      <c r="C37" s="29">
        <f>VLOOKUP($C$32&amp;"-"&amp;B37,Plan2!A2:$D$23,4,)</f>
        <v>0.35</v>
      </c>
      <c r="D37" s="30">
        <f t="shared" ref="D37:D41" si="0">C37*$C$33</f>
        <v>70</v>
      </c>
    </row>
    <row r="38" spans="2:4" x14ac:dyDescent="0.25">
      <c r="B38" s="28" t="s">
        <v>25</v>
      </c>
      <c r="C38" s="29">
        <f>VLOOKUP($C$32&amp;"-"&amp;B38,Plan2!A3:$D$23,4,)</f>
        <v>0.08</v>
      </c>
      <c r="D38" s="30">
        <f t="shared" si="0"/>
        <v>16</v>
      </c>
    </row>
    <row r="39" spans="2:4" x14ac:dyDescent="0.25">
      <c r="B39" s="28" t="s">
        <v>26</v>
      </c>
      <c r="C39" s="29">
        <f>VLOOKUP($C$32&amp;"-"&amp;B39,Plan2!A4:$D$23,4,)</f>
        <v>0.05</v>
      </c>
      <c r="D39" s="30">
        <f t="shared" si="0"/>
        <v>10</v>
      </c>
    </row>
    <row r="40" spans="2:4" x14ac:dyDescent="0.25">
      <c r="B40" s="28" t="s">
        <v>27</v>
      </c>
      <c r="C40" s="29">
        <f>VLOOKUP($C$32&amp;"-"&amp;B40,Plan2!A5:$D$23,4,)</f>
        <v>0.1</v>
      </c>
      <c r="D40" s="30">
        <f t="shared" si="0"/>
        <v>20</v>
      </c>
    </row>
    <row r="41" spans="2:4" x14ac:dyDescent="0.25">
      <c r="B41" s="28" t="s">
        <v>28</v>
      </c>
      <c r="C41" s="29">
        <f>VLOOKUP($C$32&amp;"-"&amp;B41,Plan2!A6:$D$23,4,)</f>
        <v>0.1</v>
      </c>
      <c r="D41" s="30">
        <f t="shared" si="0"/>
        <v>20</v>
      </c>
    </row>
    <row r="42" spans="2:4" x14ac:dyDescent="0.25">
      <c r="B42" s="31"/>
      <c r="C42" s="31"/>
      <c r="D42" s="32">
        <f>SUM(D36:D41)</f>
        <v>200</v>
      </c>
    </row>
  </sheetData>
  <mergeCells count="9">
    <mergeCell ref="B13:C13"/>
    <mergeCell ref="B14:C14"/>
    <mergeCell ref="B15:C15"/>
    <mergeCell ref="B16:C16"/>
    <mergeCell ref="B25:C25"/>
    <mergeCell ref="B18:C18"/>
    <mergeCell ref="B19:C19"/>
    <mergeCell ref="B20:C20"/>
    <mergeCell ref="B21:C21"/>
  </mergeCells>
  <dataValidations count="1">
    <dataValidation type="list" allowBlank="1" showInputMessage="1" showErrorMessage="1" sqref="E32 C32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0"/>
  <sheetViews>
    <sheetView workbookViewId="0">
      <selection activeCell="E12" sqref="E12"/>
    </sheetView>
  </sheetViews>
  <sheetFormatPr defaultRowHeight="15" x14ac:dyDescent="0.25"/>
  <cols>
    <col min="1" max="1" width="31.28515625" bestFit="1" customWidth="1"/>
    <col min="2" max="2" width="12.140625" bestFit="1" customWidth="1"/>
    <col min="3" max="3" width="19" bestFit="1" customWidth="1"/>
    <col min="7" max="7" width="17" bestFit="1" customWidth="1"/>
  </cols>
  <sheetData>
    <row r="2" spans="1:8" x14ac:dyDescent="0.25">
      <c r="A2" t="s">
        <v>31</v>
      </c>
      <c r="B2" t="s">
        <v>19</v>
      </c>
      <c r="C2" s="6" t="s">
        <v>20</v>
      </c>
      <c r="D2" s="6" t="s">
        <v>30</v>
      </c>
    </row>
    <row r="3" spans="1:8" x14ac:dyDescent="0.25">
      <c r="A3" t="str">
        <f>$B$3&amp;"-"&amp;C3</f>
        <v>Conservador-PAPEL</v>
      </c>
      <c r="B3" t="s">
        <v>29</v>
      </c>
      <c r="C3" s="6" t="s">
        <v>23</v>
      </c>
      <c r="D3" s="7">
        <v>0.3</v>
      </c>
      <c r="H3" t="s">
        <v>30</v>
      </c>
    </row>
    <row r="4" spans="1:8" x14ac:dyDescent="0.25">
      <c r="A4" t="str">
        <f t="shared" ref="A4:A8" si="0">$B$3&amp;"-"&amp;C4</f>
        <v>Conservador-TIJOLO</v>
      </c>
      <c r="B4" t="s">
        <v>29</v>
      </c>
      <c r="C4" s="6" t="s">
        <v>24</v>
      </c>
      <c r="D4" s="7">
        <v>0.5</v>
      </c>
      <c r="G4" s="2" t="s">
        <v>32</v>
      </c>
      <c r="H4" s="12">
        <f>VLOOKUP(G4,$A:$D,4,)</f>
        <v>0.35</v>
      </c>
    </row>
    <row r="5" spans="1:8" x14ac:dyDescent="0.25">
      <c r="A5" t="str">
        <f t="shared" si="0"/>
        <v>Conservador-HÍBRIDOS</v>
      </c>
      <c r="B5" t="s">
        <v>29</v>
      </c>
      <c r="C5" s="6" t="s">
        <v>25</v>
      </c>
      <c r="D5" s="7">
        <v>0.1</v>
      </c>
    </row>
    <row r="6" spans="1:8" x14ac:dyDescent="0.25">
      <c r="A6" t="str">
        <f t="shared" si="0"/>
        <v>Conservador-FOFs</v>
      </c>
      <c r="B6" t="s">
        <v>29</v>
      </c>
      <c r="C6" s="6" t="s">
        <v>26</v>
      </c>
      <c r="D6" s="7">
        <v>0.1</v>
      </c>
    </row>
    <row r="7" spans="1:8" x14ac:dyDescent="0.25">
      <c r="A7" t="str">
        <f t="shared" si="0"/>
        <v>Conservador-DESENVOLVIMENTO</v>
      </c>
      <c r="B7" t="s">
        <v>29</v>
      </c>
      <c r="C7" s="6" t="s">
        <v>27</v>
      </c>
      <c r="D7" s="7">
        <v>0</v>
      </c>
    </row>
    <row r="8" spans="1:8" ht="15.75" thickBot="1" x14ac:dyDescent="0.3">
      <c r="A8" s="8" t="str">
        <f t="shared" si="0"/>
        <v>Conservador-HOTELARIAS</v>
      </c>
      <c r="B8" s="8" t="s">
        <v>29</v>
      </c>
      <c r="C8" s="9" t="s">
        <v>28</v>
      </c>
      <c r="D8" s="10">
        <v>0</v>
      </c>
    </row>
    <row r="9" spans="1:8" x14ac:dyDescent="0.25">
      <c r="A9" s="11" t="str">
        <f>$B$9&amp;"-"&amp;C9</f>
        <v>Moderado-PAPEL</v>
      </c>
      <c r="B9" t="s">
        <v>16</v>
      </c>
      <c r="C9" s="6" t="s">
        <v>23</v>
      </c>
      <c r="D9" s="7">
        <v>0.32</v>
      </c>
    </row>
    <row r="10" spans="1:8" x14ac:dyDescent="0.25">
      <c r="A10" s="11" t="str">
        <f t="shared" ref="A10:A14" si="1">$B$9&amp;"-"&amp;C10</f>
        <v>Moderado-TIJOLO</v>
      </c>
      <c r="B10" t="s">
        <v>16</v>
      </c>
      <c r="C10" s="6" t="s">
        <v>24</v>
      </c>
      <c r="D10" s="7">
        <v>0.35</v>
      </c>
    </row>
    <row r="11" spans="1:8" x14ac:dyDescent="0.25">
      <c r="A11" s="11" t="str">
        <f t="shared" si="1"/>
        <v>Moderado-HÍBRIDOS</v>
      </c>
      <c r="B11" t="s">
        <v>16</v>
      </c>
      <c r="C11" s="6" t="s">
        <v>25</v>
      </c>
      <c r="D11" s="7">
        <v>0.08</v>
      </c>
    </row>
    <row r="12" spans="1:8" x14ac:dyDescent="0.25">
      <c r="A12" s="11" t="str">
        <f t="shared" si="1"/>
        <v>Moderado-FOFs</v>
      </c>
      <c r="B12" t="s">
        <v>16</v>
      </c>
      <c r="C12" s="6" t="s">
        <v>26</v>
      </c>
      <c r="D12" s="7">
        <v>0.05</v>
      </c>
    </row>
    <row r="13" spans="1:8" x14ac:dyDescent="0.25">
      <c r="A13" s="11" t="str">
        <f t="shared" si="1"/>
        <v>Moderado-DESENVOLVIMENTO</v>
      </c>
      <c r="B13" t="s">
        <v>16</v>
      </c>
      <c r="C13" s="6" t="s">
        <v>27</v>
      </c>
      <c r="D13" s="7">
        <v>0.1</v>
      </c>
    </row>
    <row r="14" spans="1:8" ht="15.75" thickBot="1" x14ac:dyDescent="0.3">
      <c r="A14" s="8" t="str">
        <f t="shared" si="1"/>
        <v>Moderado-HOTELARIAS</v>
      </c>
      <c r="B14" s="8" t="s">
        <v>16</v>
      </c>
      <c r="C14" s="9" t="s">
        <v>28</v>
      </c>
      <c r="D14" s="10">
        <v>0.1</v>
      </c>
    </row>
    <row r="15" spans="1:8" x14ac:dyDescent="0.25">
      <c r="A15" s="11" t="str">
        <f>$B$15&amp;"-"&amp;C15</f>
        <v>Agressivo-PAPEL</v>
      </c>
      <c r="B15" t="s">
        <v>17</v>
      </c>
      <c r="C15" s="6" t="s">
        <v>23</v>
      </c>
      <c r="D15" s="7">
        <v>0.5</v>
      </c>
    </row>
    <row r="16" spans="1:8" x14ac:dyDescent="0.25">
      <c r="A16" s="11" t="str">
        <f t="shared" ref="A16:A20" si="2">$B$15&amp;"-"&amp;C16</f>
        <v>Agressivo-TIJOLO</v>
      </c>
      <c r="B16" t="s">
        <v>17</v>
      </c>
      <c r="C16" s="6" t="s">
        <v>24</v>
      </c>
      <c r="D16" s="7">
        <v>0.1</v>
      </c>
    </row>
    <row r="17" spans="1:4" x14ac:dyDescent="0.25">
      <c r="A17" s="11" t="str">
        <f t="shared" si="2"/>
        <v>Agressivo-HÍBRIDOS</v>
      </c>
      <c r="B17" t="s">
        <v>17</v>
      </c>
      <c r="C17" s="6" t="s">
        <v>25</v>
      </c>
      <c r="D17" s="7">
        <v>0.05</v>
      </c>
    </row>
    <row r="18" spans="1:4" x14ac:dyDescent="0.25">
      <c r="A18" s="11" t="str">
        <f t="shared" si="2"/>
        <v>Agressivo-FOFs</v>
      </c>
      <c r="B18" t="s">
        <v>17</v>
      </c>
      <c r="C18" s="6" t="s">
        <v>26</v>
      </c>
      <c r="D18" s="7">
        <v>0.05</v>
      </c>
    </row>
    <row r="19" spans="1:4" x14ac:dyDescent="0.25">
      <c r="A19" s="11" t="str">
        <f t="shared" si="2"/>
        <v>Agressivo-DESENVOLVIMENTO</v>
      </c>
      <c r="B19" t="s">
        <v>17</v>
      </c>
      <c r="C19" s="6" t="s">
        <v>27</v>
      </c>
      <c r="D19" s="7">
        <v>0.2</v>
      </c>
    </row>
    <row r="20" spans="1:4" x14ac:dyDescent="0.25">
      <c r="A20" s="11" t="str">
        <f t="shared" si="2"/>
        <v>Agressivo-HOTELARIAS</v>
      </c>
      <c r="B20" t="s">
        <v>17</v>
      </c>
      <c r="C20" s="6" t="s">
        <v>28</v>
      </c>
      <c r="D20" s="7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Plan1</vt:lpstr>
      <vt:lpstr>Plan2</vt:lpstr>
      <vt:lpstr>aporte</vt:lpstr>
      <vt:lpstr>patrimonio</vt:lpstr>
      <vt:lpstr>qtdeAnos</vt:lpstr>
      <vt:lpstr>rendimentoCarteira</vt:lpstr>
      <vt:lpstr>salario</vt:lpstr>
      <vt:lpstr>sugestaoInvestimento</vt:lpstr>
      <vt:lpstr>taxaMensal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 Reis</dc:creator>
  <cp:lastModifiedBy>Dimas Reis</cp:lastModifiedBy>
  <dcterms:created xsi:type="dcterms:W3CDTF">2026-10-21T12:38:40Z</dcterms:created>
  <dcterms:modified xsi:type="dcterms:W3CDTF">2026-10-27T13:37:10Z</dcterms:modified>
</cp:coreProperties>
</file>